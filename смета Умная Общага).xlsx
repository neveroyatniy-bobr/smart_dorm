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<sst xmlns="http://schemas.openxmlformats.org/spreadsheetml/2006/main" count="96" uniqueCount="47">
  <si>
    <t>умная общага))</t>
  </si>
  <si>
    <t>Итоговая сумма, руб :</t>
  </si>
  <si>
    <t xml:space="preserve">Лимит, руб: </t>
  </si>
  <si>
    <t>№ п/п</t>
  </si>
  <si>
    <t>Наименование (что)</t>
  </si>
  <si>
    <t>Единица измерения</t>
  </si>
  <si>
    <t>Кол-во</t>
  </si>
  <si>
    <t>Цена за шт., руб.</t>
  </si>
  <si>
    <t>Сумма, руб</t>
  </si>
  <si>
    <t>Ссылка на материал</t>
  </si>
  <si>
    <t>Альтернативная ссылка</t>
  </si>
  <si>
    <t>Магазин</t>
  </si>
  <si>
    <t>Статус</t>
  </si>
  <si>
    <t>Для чего?</t>
  </si>
  <si>
    <t>модуль</t>
  </si>
  <si>
    <t>Espressif ESP32-C6-DevKitC-1</t>
  </si>
  <si>
    <t>шт</t>
  </si>
  <si>
    <t>https://dip8.ru/shop/product/esp32_c6_devkitc_1_n8_esps/</t>
  </si>
  <si>
    <t>Прочее</t>
  </si>
  <si>
    <t>заказали</t>
  </si>
  <si>
    <t>итоговая деталь</t>
  </si>
  <si>
    <t>основной</t>
  </si>
  <si>
    <t>Экран: OLED SSD1306</t>
  </si>
  <si>
    <t>https://ozon.ru/t/9oGXep0</t>
  </si>
  <si>
    <t>Озон</t>
  </si>
  <si>
    <t>Аккумулятор 18650 Li-ion 3.7V 12950 mWh</t>
  </si>
  <si>
    <t>https://ozon.ru/t/cFScO6p</t>
  </si>
  <si>
    <t>общее</t>
  </si>
  <si>
    <t>Батарейный отсек 18650</t>
  </si>
  <si>
    <t>https://ozon.ru/t/oNIWJeu</t>
  </si>
  <si>
    <t>Контроллер заряда TP4056 USB Type-C с защитой, модуль заряда li-ion аккумуляторов 18650 1шт</t>
  </si>
  <si>
    <t>https://ozon.ru/t/Za5b6SF</t>
  </si>
  <si>
    <t>ESP32 C3 Super Mini с корпусом</t>
  </si>
  <si>
    <t>https://ozon.ru/t/j7ozQyR</t>
  </si>
  <si>
    <t>Повышающий преобразователь напряжения</t>
  </si>
  <si>
    <t>https://ozon.ru/t/GA0XvUq</t>
  </si>
  <si>
    <t>Шаговый двигатель Nema 17</t>
  </si>
  <si>
    <t>https://ozon.ru/t/uk6ZOkB</t>
  </si>
  <si>
    <t>не факт что подойдет</t>
  </si>
  <si>
    <t>шторы</t>
  </si>
  <si>
    <t>Драйвер шагового двигателя TMC2208 V2.0</t>
  </si>
  <si>
    <t>https://ozon.ru/t/QWfM6X1</t>
  </si>
  <si>
    <t>Сервомотор SG-90 180 / Micro Servo Arduino</t>
  </si>
  <si>
    <t>https://ozon.ru/t/UunU597</t>
  </si>
  <si>
    <t>свет</t>
  </si>
  <si>
    <t>транзистор</t>
  </si>
  <si>
    <t>https://ozon.ru/t/J5OLnu7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</si>
</sst>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р.-419]#,##0.00"/>
    <numFmt numFmtId="165" formatCode="[$р.-419]#,##0"/>
  </numFmts>
  <fonts count="13">
    <font>
      <sz val="10.0"/>
      <color rgb="FF000000"/>
      <name val="Arial"/>
      <scheme val="minor"/>
    </font>
    <font>
      <i/>
      <sz val="18.0"/>
      <color theme="1"/>
      <name val="Montserrat"/>
    </font>
    <font/>
    <font>
      <i/>
      <sz val="11.0"/>
      <color theme="1"/>
      <name val="Montserrat"/>
    </font>
    <font>
      <color theme="1"/>
      <name val="Arial"/>
    </font>
    <font>
      <sz val="11.0"/>
      <color theme="1"/>
      <name val="Arial"/>
      <scheme val="minor"/>
    </font>
    <font>
      <sz val="11.0"/>
      <color theme="1"/>
      <name val="Montserrat"/>
    </font>
    <font>
      <u/>
      <sz val="11.0"/>
      <color rgb="FF0000FF"/>
      <name val="Montserrat"/>
    </font>
    <font>
      <sz val="14.0"/>
      <color theme="1"/>
      <name val="Arial"/>
    </font>
    <font>
      <color theme="1"/>
      <name val="Arial"/>
      <scheme val="minor"/>
    </font>
    <font>
      <u/>
      <sz val="11.0"/>
      <color rgb="FF0000FF"/>
      <name val="Montserrat"/>
    </font>
    <font>
      <u/>
      <sz val="11.0"/>
      <color theme="1"/>
      <name val="Montserrat"/>
    </font>
    <font>
      <sz val="11.0"/>
      <color rgb="FF070707"/>
      <name val="Onest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dotted">
        <color rgb="FF666666"/>
      </left>
      <right style="dotted">
        <color rgb="FF666666"/>
      </right>
      <bottom style="dotted">
        <color rgb="FF666666"/>
      </bottom>
    </border>
    <border>
      <right style="dotted">
        <color rgb="FF666666"/>
      </right>
      <bottom style="dotted">
        <color rgb="FF666666"/>
      </bottom>
    </border>
    <border>
      <right style="thick">
        <color rgb="FF000000"/>
      </right>
    </border>
    <border>
      <left style="dotted">
        <color rgb="FF666666"/>
      </left>
      <right style="dotted">
        <color rgb="FF666666"/>
      </right>
      <top style="dotted">
        <color rgb="FF666666"/>
      </top>
      <bottom style="dotted">
        <color rgb="FF666666"/>
      </bottom>
    </border>
    <border>
      <bottom style="dotted">
        <color rgb="FF000000"/>
      </bottom>
    </border>
    <border>
      <bottom style="dotted">
        <color rgb="FF666666"/>
      </bottom>
    </border>
    <border>
      <right style="thick">
        <color rgb="FF000000"/>
      </right>
      <bottom style="dotted">
        <color rgb="FF666666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bottom" wrapText="1"/>
    </xf>
    <xf borderId="4" fillId="2" fontId="1" numFmtId="164" xfId="0" applyAlignment="1" applyBorder="1" applyFill="1" applyFont="1" applyNumberFormat="1">
      <alignment horizontal="center" shrinkToFit="0" vertical="bottom" wrapText="1"/>
    </xf>
    <xf borderId="4" fillId="2" fontId="3" numFmtId="0" xfId="0" applyAlignment="1" applyBorder="1" applyFill="1" applyFont="1">
      <alignment horizontal="center" vertical="bottom"/>
    </xf>
    <xf borderId="5" fillId="2" fontId="4" numFmtId="165" xfId="0" applyAlignment="1" applyBorder="1" applyFill="1" applyFont="1" applyNumberFormat="1">
      <alignment vertical="bottom"/>
    </xf>
    <xf borderId="4" fillId="2" fontId="4" numFmtId="165" xfId="0" applyAlignment="1" applyBorder="1" applyFill="1" applyFont="1" applyNumberFormat="1">
      <alignment vertical="bottom"/>
    </xf>
    <xf borderId="0" fillId="0" fontId="4" numFmtId="0" xfId="0" applyAlignment="1" applyFont="1">
      <alignment vertical="bottom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3" fontId="3" numFmtId="0" xfId="0" applyAlignment="1" applyBorder="1" applyFill="1" applyFont="1">
      <alignment horizontal="center" shrinkToFit="0" vertical="bottom" wrapText="1"/>
    </xf>
    <xf borderId="11" fillId="3" fontId="3" numFmtId="164" xfId="0" applyAlignment="1" applyBorder="1" applyFill="1" applyFont="1" applyNumberFormat="1">
      <alignment horizontal="center" shrinkToFit="0" vertical="bottom" wrapText="1"/>
    </xf>
    <xf borderId="12" fillId="3" fontId="3" numFmtId="0" xfId="0" applyAlignment="1" applyBorder="1" applyFill="1" applyFont="1">
      <alignment horizontal="center" shrinkToFit="0" vertical="bottom" wrapText="1"/>
    </xf>
    <xf borderId="13" fillId="0" fontId="2" numFmtId="0" xfId="0" applyBorder="1" applyFont="1"/>
    <xf borderId="14" fillId="0" fontId="2" numFmtId="0" xfId="0" applyBorder="1" applyFont="1"/>
    <xf borderId="15" fillId="0" fontId="3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readingOrder="0"/>
    </xf>
    <xf borderId="15" fillId="0" fontId="6" numFmtId="0" xfId="0" applyAlignment="1" applyBorder="1" applyFont="1">
      <alignment horizontal="center" shrinkToFit="0" vertical="bottom" wrapText="1"/>
    </xf>
    <xf borderId="15" fillId="0" fontId="6" numFmtId="0" xfId="0" applyAlignment="1" applyBorder="1" applyFont="1">
      <alignment horizontal="center" readingOrder="0" shrinkToFit="0" vertical="bottom" wrapText="1"/>
    </xf>
    <xf borderId="15" fillId="0" fontId="6" numFmtId="164" xfId="0" applyAlignment="1" applyBorder="1" applyFont="1" applyNumberFormat="1">
      <alignment horizontal="center" readingOrder="0" shrinkToFit="0" vertical="bottom" wrapText="1"/>
    </xf>
    <xf borderId="15" fillId="0" fontId="3" numFmtId="164" xfId="0" applyAlignment="1" applyBorder="1" applyFont="1" applyNumberFormat="1">
      <alignment horizontal="center" shrinkToFit="0" vertical="bottom" wrapText="1"/>
    </xf>
    <xf borderId="0" fillId="0" fontId="7" numFmtId="0" xfId="0" applyAlignment="1" applyFont="1">
      <alignment readingOrder="0" shrinkToFit="0" vertical="bottom" wrapText="1"/>
    </xf>
    <xf borderId="16" fillId="0" fontId="4" numFmtId="0" xfId="0" applyAlignment="1" applyBorder="1" applyFont="1">
      <alignment vertical="bottom"/>
    </xf>
    <xf borderId="16" fillId="0" fontId="4" numFmtId="0" xfId="0" applyAlignment="1" applyBorder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17" fillId="0" fontId="2" numFmtId="0" xfId="0" applyBorder="1" applyFont="1"/>
    <xf borderId="0" fillId="0" fontId="9" numFmtId="0" xfId="0" applyAlignment="1" applyFont="1">
      <alignment readingOrder="0"/>
    </xf>
    <xf borderId="18" fillId="0" fontId="6" numFmtId="0" xfId="0" applyAlignment="1" applyBorder="1" applyFont="1">
      <alignment horizontal="center" shrinkToFit="0" vertical="bottom" wrapText="1"/>
    </xf>
    <xf borderId="18" fillId="0" fontId="6" numFmtId="0" xfId="0" applyAlignment="1" applyBorder="1" applyFont="1">
      <alignment horizontal="center" readingOrder="0" shrinkToFit="0" vertical="bottom" wrapText="1"/>
    </xf>
    <xf borderId="18" fillId="0" fontId="6" numFmtId="164" xfId="0" applyAlignment="1" applyBorder="1" applyFont="1" applyNumberFormat="1">
      <alignment horizontal="center" readingOrder="0" shrinkToFit="0" vertical="bottom" wrapText="1"/>
    </xf>
    <xf borderId="19" fillId="0" fontId="10" numFmtId="0" xfId="0" applyAlignment="1" applyBorder="1" applyFont="1">
      <alignment horizontal="center" readingOrder="0" shrinkToFit="0" vertical="bottom" wrapText="1"/>
    </xf>
    <xf borderId="19" fillId="0" fontId="11" numFmtId="0" xfId="0" applyAlignment="1" applyBorder="1" applyFont="1">
      <alignment horizontal="center" shrinkToFit="0" vertical="bottom" wrapText="1"/>
    </xf>
    <xf borderId="0" fillId="4" fontId="12" numFmtId="0" xfId="0" applyAlignment="1" applyFill="1" applyFont="1">
      <alignment readingOrder="0"/>
    </xf>
    <xf borderId="19" fillId="0" fontId="4" numFmtId="0" xfId="0" applyAlignment="1" applyBorder="1" applyFont="1">
      <alignment vertical="bottom"/>
    </xf>
    <xf borderId="18" fillId="0" fontId="6" numFmtId="164" xfId="0" applyAlignment="1" applyBorder="1" applyFont="1" applyNumberFormat="1">
      <alignment horizontal="center" shrinkToFit="0" vertical="bottom" wrapText="1"/>
    </xf>
    <xf borderId="20" fillId="4" fontId="4" numFmtId="0" xfId="0" applyAlignment="1" applyBorder="1" applyFill="1" applyFont="1">
      <alignment vertical="bottom"/>
    </xf>
    <xf borderId="20" fillId="0" fontId="2" numFmtId="0" xfId="0" applyBorder="1" applyFont="1"/>
    <xf borderId="21" fillId="0" fontId="2" numFmtId="0" xfId="0" applyBorder="1" applyFont="1"/>
    <xf borderId="18" fillId="0" fontId="4" numFmtId="0" xfId="0" applyAlignment="1" applyBorder="1" applyFont="1">
      <alignment vertical="bottom"/>
    </xf>
    <xf borderId="18" fillId="0" fontId="4" numFmtId="164" xfId="0" applyAlignment="1" applyBorder="1" applyFont="1" applyNumberFormat="1">
      <alignment vertical="bottom"/>
    </xf>
    <xf borderId="17" fillId="0" fontId="9" numFmtId="0" xfId="0" applyBorder="1" applyFont="1"/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p8.ru/shop/product/esp32_c6_devkitc_1_n8_esps/" TargetMode="External"/><Relationship Id="rId2" Type="http://schemas.openxmlformats.org/officeDocument/2006/relationships/hyperlink" Target="https://ozon.ru/t/9oGXep0" TargetMode="External"/><Relationship Id="rId3" Type="http://schemas.openxmlformats.org/officeDocument/2006/relationships/hyperlink" Target="https://ozon.ru/t/cFScO6p" TargetMode="External"/><Relationship Id="rId4" Type="http://schemas.openxmlformats.org/officeDocument/2006/relationships/hyperlink" Target="https://ozon.ru/t/oNIWJeu" TargetMode="External"/><Relationship Id="rId11" Type="http://schemas.openxmlformats.org/officeDocument/2006/relationships/hyperlink" Target="https://ozon.ru/t/J5OLnu7" TargetMode="External"/><Relationship Id="rId10" Type="http://schemas.openxmlformats.org/officeDocument/2006/relationships/hyperlink" Target="https://ozon.ru/t/UunU597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ozon.ru/t/QWfM6X1" TargetMode="External"/><Relationship Id="rId5" Type="http://schemas.openxmlformats.org/officeDocument/2006/relationships/hyperlink" Target="https://ozon.ru/t/Za5b6SF" TargetMode="External"/><Relationship Id="rId6" Type="http://schemas.openxmlformats.org/officeDocument/2006/relationships/hyperlink" Target="https://ozon.ru/t/j7ozQyR" TargetMode="External"/><Relationship Id="rId7" Type="http://schemas.openxmlformats.org/officeDocument/2006/relationships/hyperlink" Target="https://ozon.ru/t/GA0XvUq" TargetMode="External"/><Relationship Id="rId8" Type="http://schemas.openxmlformats.org/officeDocument/2006/relationships/hyperlink" Target="https://ozon.ru/t/uk6ZO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88"/>
    <col customWidth="1" min="10" max="10" width="15.13"/>
    <col customWidth="1" min="11" max="11" width="15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5">
        <f>SUM(F4:F28)</f>
        <v>6964</v>
      </c>
      <c r="L1" s="6" t="s">
        <v>2</v>
      </c>
      <c r="M1" s="7"/>
      <c r="N1" s="8"/>
      <c r="O1" s="8"/>
      <c r="P1" s="7"/>
      <c r="Q1" s="9"/>
    </row>
    <row r="2">
      <c r="A2" s="10"/>
      <c r="B2" s="11"/>
      <c r="C2" s="11"/>
      <c r="D2" s="11"/>
      <c r="E2" s="11"/>
      <c r="F2" s="11"/>
      <c r="G2" s="11"/>
      <c r="H2" s="11"/>
      <c r="I2" s="12"/>
      <c r="J2" s="13"/>
      <c r="K2" s="13"/>
      <c r="L2" s="13"/>
      <c r="M2" s="14"/>
      <c r="N2" s="13"/>
      <c r="O2" s="13"/>
      <c r="P2" s="14"/>
    </row>
    <row r="3">
      <c r="A3" s="15" t="s">
        <v>3</v>
      </c>
      <c r="B3" s="15" t="s">
        <v>4</v>
      </c>
      <c r="C3" s="15" t="s">
        <v>5</v>
      </c>
      <c r="D3" s="15" t="s">
        <v>6</v>
      </c>
      <c r="E3" s="16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7" t="s">
        <v>13</v>
      </c>
      <c r="L3" s="18"/>
      <c r="M3" s="19"/>
      <c r="N3" s="17" t="s">
        <v>14</v>
      </c>
      <c r="O3" s="18"/>
      <c r="P3" s="19"/>
    </row>
    <row r="4">
      <c r="A4" s="20">
        <v>1.0</v>
      </c>
      <c r="B4" s="21" t="s">
        <v>15</v>
      </c>
      <c r="C4" s="22" t="s">
        <v>16</v>
      </c>
      <c r="D4" s="23">
        <v>1.0</v>
      </c>
      <c r="E4" s="24">
        <v>1840.0</v>
      </c>
      <c r="F4" s="25">
        <f t="shared" ref="F4:F20" si="1">D4*E4</f>
        <v>1840</v>
      </c>
      <c r="G4" s="26" t="s">
        <v>17</v>
      </c>
      <c r="H4" s="27"/>
      <c r="I4" s="28" t="s">
        <v>18</v>
      </c>
      <c r="J4" s="28" t="s">
        <v>19</v>
      </c>
      <c r="K4" s="29" t="s">
        <v>20</v>
      </c>
      <c r="M4" s="30"/>
      <c r="N4" s="29" t="s">
        <v>21</v>
      </c>
      <c r="P4" s="30"/>
    </row>
    <row r="5">
      <c r="A5" s="20">
        <v>2.0</v>
      </c>
      <c r="B5" s="31" t="s">
        <v>22</v>
      </c>
      <c r="C5" s="32" t="s">
        <v>16</v>
      </c>
      <c r="D5" s="33">
        <v>1.0</v>
      </c>
      <c r="E5" s="34">
        <v>268.0</v>
      </c>
      <c r="F5" s="25">
        <f t="shared" si="1"/>
        <v>268</v>
      </c>
      <c r="G5" s="35" t="s">
        <v>23</v>
      </c>
      <c r="H5" s="36"/>
      <c r="I5" s="28" t="s">
        <v>24</v>
      </c>
      <c r="J5" s="28" t="s">
        <v>19</v>
      </c>
      <c r="K5" s="29" t="s">
        <v>20</v>
      </c>
      <c r="M5" s="30"/>
      <c r="N5" s="29" t="s">
        <v>21</v>
      </c>
      <c r="P5" s="30"/>
    </row>
    <row r="6">
      <c r="A6" s="20">
        <v>3.0</v>
      </c>
      <c r="B6" s="37" t="s">
        <v>25</v>
      </c>
      <c r="C6" s="32" t="s">
        <v>16</v>
      </c>
      <c r="D6" s="33">
        <v>3.0</v>
      </c>
      <c r="E6" s="34">
        <v>406.0</v>
      </c>
      <c r="F6" s="25">
        <f t="shared" si="1"/>
        <v>1218</v>
      </c>
      <c r="G6" s="35" t="s">
        <v>26</v>
      </c>
      <c r="H6" s="38"/>
      <c r="I6" s="27" t="s">
        <v>24</v>
      </c>
      <c r="J6" s="28" t="s">
        <v>19</v>
      </c>
      <c r="K6" s="29" t="s">
        <v>20</v>
      </c>
      <c r="M6" s="30"/>
      <c r="N6" s="29" t="s">
        <v>27</v>
      </c>
      <c r="P6" s="30"/>
    </row>
    <row r="7">
      <c r="A7" s="20">
        <v>4.0</v>
      </c>
      <c r="B7" s="37" t="s">
        <v>28</v>
      </c>
      <c r="C7" s="32" t="s">
        <v>16</v>
      </c>
      <c r="D7" s="33">
        <v>3.0</v>
      </c>
      <c r="E7" s="34">
        <v>117.0</v>
      </c>
      <c r="F7" s="25">
        <f t="shared" si="1"/>
        <v>351</v>
      </c>
      <c r="G7" s="35" t="s">
        <v>29</v>
      </c>
      <c r="H7" s="38"/>
      <c r="I7" s="27" t="s">
        <v>24</v>
      </c>
      <c r="J7" s="28" t="s">
        <v>19</v>
      </c>
      <c r="K7" s="29" t="s">
        <v>20</v>
      </c>
      <c r="M7" s="30"/>
      <c r="N7" s="29" t="s">
        <v>27</v>
      </c>
      <c r="P7" s="30"/>
    </row>
    <row r="8">
      <c r="A8" s="20">
        <v>5.0</v>
      </c>
      <c r="B8" s="37" t="s">
        <v>30</v>
      </c>
      <c r="C8" s="32" t="s">
        <v>16</v>
      </c>
      <c r="D8" s="33">
        <v>3.0</v>
      </c>
      <c r="E8" s="34">
        <v>69.0</v>
      </c>
      <c r="F8" s="25">
        <f t="shared" si="1"/>
        <v>207</v>
      </c>
      <c r="G8" s="35" t="s">
        <v>31</v>
      </c>
      <c r="H8" s="38"/>
      <c r="I8" s="27" t="s">
        <v>24</v>
      </c>
      <c r="J8" s="28" t="s">
        <v>19</v>
      </c>
      <c r="K8" s="29" t="s">
        <v>20</v>
      </c>
      <c r="M8" s="30"/>
      <c r="N8" s="29" t="s">
        <v>27</v>
      </c>
      <c r="P8" s="30"/>
    </row>
    <row r="9">
      <c r="A9" s="20">
        <v>6.0</v>
      </c>
      <c r="B9" s="37" t="s">
        <v>32</v>
      </c>
      <c r="C9" s="33" t="s">
        <v>16</v>
      </c>
      <c r="D9" s="33">
        <v>3.0</v>
      </c>
      <c r="E9" s="34">
        <v>430.0</v>
      </c>
      <c r="F9" s="25">
        <f t="shared" si="1"/>
        <v>1290</v>
      </c>
      <c r="G9" s="35" t="s">
        <v>33</v>
      </c>
      <c r="H9" s="38"/>
      <c r="I9" s="28" t="s">
        <v>24</v>
      </c>
      <c r="J9" s="28" t="s">
        <v>19</v>
      </c>
      <c r="K9" s="29" t="s">
        <v>20</v>
      </c>
      <c r="M9" s="30"/>
      <c r="N9" s="29" t="s">
        <v>27</v>
      </c>
      <c r="P9" s="30"/>
    </row>
    <row r="10">
      <c r="A10" s="20">
        <v>7.0</v>
      </c>
      <c r="B10" s="37" t="s">
        <v>34</v>
      </c>
      <c r="C10" s="32" t="s">
        <v>16</v>
      </c>
      <c r="D10" s="33">
        <v>3.0</v>
      </c>
      <c r="E10" s="34">
        <v>80.0</v>
      </c>
      <c r="F10" s="25">
        <f t="shared" si="1"/>
        <v>240</v>
      </c>
      <c r="G10" s="35" t="s">
        <v>35</v>
      </c>
      <c r="H10" s="38"/>
      <c r="I10" s="28" t="s">
        <v>24</v>
      </c>
      <c r="J10" s="28" t="s">
        <v>19</v>
      </c>
      <c r="K10" s="29" t="s">
        <v>20</v>
      </c>
      <c r="M10" s="30"/>
      <c r="N10" s="29" t="s">
        <v>27</v>
      </c>
      <c r="P10" s="30"/>
    </row>
    <row r="11">
      <c r="A11" s="20">
        <v>8.0</v>
      </c>
      <c r="B11" s="37" t="s">
        <v>36</v>
      </c>
      <c r="C11" s="32" t="s">
        <v>16</v>
      </c>
      <c r="D11" s="33">
        <v>1.0</v>
      </c>
      <c r="E11" s="34">
        <v>760.0</v>
      </c>
      <c r="F11" s="25">
        <f t="shared" si="1"/>
        <v>760</v>
      </c>
      <c r="G11" s="35" t="s">
        <v>37</v>
      </c>
      <c r="H11" s="36"/>
      <c r="I11" s="28" t="s">
        <v>24</v>
      </c>
      <c r="J11" s="28" t="s">
        <v>19</v>
      </c>
      <c r="K11" s="29" t="s">
        <v>38</v>
      </c>
      <c r="M11" s="30"/>
      <c r="N11" s="29" t="s">
        <v>39</v>
      </c>
      <c r="P11" s="30"/>
    </row>
    <row r="12">
      <c r="A12" s="20">
        <v>9.0</v>
      </c>
      <c r="B12" s="37" t="s">
        <v>40</v>
      </c>
      <c r="C12" s="33" t="s">
        <v>16</v>
      </c>
      <c r="D12" s="33">
        <v>1.0</v>
      </c>
      <c r="E12" s="34">
        <v>430.0</v>
      </c>
      <c r="F12" s="25">
        <f t="shared" si="1"/>
        <v>430</v>
      </c>
      <c r="G12" s="35" t="s">
        <v>41</v>
      </c>
      <c r="H12" s="38"/>
      <c r="I12" s="27" t="s">
        <v>24</v>
      </c>
      <c r="J12" s="28" t="s">
        <v>19</v>
      </c>
      <c r="K12" s="29" t="s">
        <v>38</v>
      </c>
      <c r="M12" s="30"/>
      <c r="N12" s="29" t="s">
        <v>39</v>
      </c>
      <c r="P12" s="30"/>
    </row>
    <row r="13">
      <c r="A13" s="20">
        <v>10.0</v>
      </c>
      <c r="B13" s="37" t="s">
        <v>42</v>
      </c>
      <c r="C13" s="33" t="s">
        <v>16</v>
      </c>
      <c r="D13" s="33">
        <v>1.0</v>
      </c>
      <c r="E13" s="34">
        <v>128.0</v>
      </c>
      <c r="F13" s="25">
        <f t="shared" si="1"/>
        <v>128</v>
      </c>
      <c r="G13" s="35" t="s">
        <v>43</v>
      </c>
      <c r="H13" s="38"/>
      <c r="I13" s="27" t="s">
        <v>24</v>
      </c>
      <c r="J13" s="28" t="s">
        <v>19</v>
      </c>
      <c r="K13" s="29" t="s">
        <v>20</v>
      </c>
      <c r="M13" s="30"/>
      <c r="N13" s="29" t="s">
        <v>44</v>
      </c>
      <c r="P13" s="30"/>
    </row>
    <row r="14">
      <c r="A14" s="20">
        <v>11.0</v>
      </c>
      <c r="B14" s="33" t="s">
        <v>45</v>
      </c>
      <c r="C14" s="32" t="s">
        <v>16</v>
      </c>
      <c r="D14" s="33">
        <v>1.0</v>
      </c>
      <c r="E14" s="34">
        <v>232.0</v>
      </c>
      <c r="F14" s="25">
        <f t="shared" si="1"/>
        <v>232</v>
      </c>
      <c r="G14" s="35" t="s">
        <v>46</v>
      </c>
      <c r="H14" s="38"/>
      <c r="I14" s="27" t="s">
        <v>24</v>
      </c>
      <c r="J14" s="28" t="s">
        <v>19</v>
      </c>
      <c r="K14" s="29" t="s">
        <v>20</v>
      </c>
      <c r="M14" s="30"/>
      <c r="N14" s="29" t="s">
        <v>44</v>
      </c>
      <c r="P14" s="30"/>
    </row>
    <row r="15">
      <c r="A15" s="20">
        <v>12.0</v>
      </c>
      <c r="B15" s="32"/>
      <c r="C15" s="32" t="s">
        <v>16</v>
      </c>
      <c r="D15" s="32"/>
      <c r="E15" s="39"/>
      <c r="F15" s="25">
        <f t="shared" si="1"/>
        <v>0</v>
      </c>
      <c r="G15" s="36"/>
      <c r="H15" s="38"/>
      <c r="I15" s="27" t="s">
        <v>24</v>
      </c>
      <c r="J15" s="28" t="s">
        <v>19</v>
      </c>
      <c r="K15" s="40"/>
      <c r="L15" s="41"/>
      <c r="M15" s="42"/>
      <c r="N15" s="9"/>
      <c r="P15" s="30"/>
    </row>
    <row r="16">
      <c r="A16" s="20">
        <v>14.0</v>
      </c>
      <c r="B16" s="32"/>
      <c r="C16" s="32" t="s">
        <v>16</v>
      </c>
      <c r="D16" s="32"/>
      <c r="E16" s="39"/>
      <c r="F16" s="25">
        <f t="shared" si="1"/>
        <v>0</v>
      </c>
      <c r="G16" s="36"/>
      <c r="H16" s="38"/>
      <c r="I16" s="27"/>
      <c r="J16" s="27"/>
      <c r="K16" s="40"/>
      <c r="L16" s="41"/>
      <c r="M16" s="42"/>
      <c r="N16" s="9"/>
      <c r="P16" s="30"/>
    </row>
    <row r="17">
      <c r="A17" s="20">
        <v>15.0</v>
      </c>
      <c r="B17" s="43"/>
      <c r="C17" s="43"/>
      <c r="D17" s="43"/>
      <c r="E17" s="44"/>
      <c r="F17" s="25">
        <f t="shared" si="1"/>
        <v>0</v>
      </c>
      <c r="G17" s="38"/>
      <c r="H17" s="38"/>
      <c r="I17" s="27"/>
      <c r="J17" s="27"/>
      <c r="K17" s="40"/>
      <c r="L17" s="41"/>
      <c r="M17" s="42"/>
      <c r="N17" s="9"/>
      <c r="P17" s="30"/>
    </row>
    <row r="18">
      <c r="A18" s="20">
        <v>16.0</v>
      </c>
      <c r="B18" s="43"/>
      <c r="C18" s="43"/>
      <c r="D18" s="43"/>
      <c r="E18" s="44"/>
      <c r="F18" s="25">
        <f t="shared" si="1"/>
        <v>0</v>
      </c>
      <c r="G18" s="38"/>
      <c r="H18" s="38"/>
      <c r="I18" s="27"/>
      <c r="J18" s="27"/>
      <c r="K18" s="40"/>
      <c r="L18" s="41"/>
      <c r="M18" s="42"/>
      <c r="N18" s="9"/>
      <c r="P18" s="45"/>
    </row>
    <row r="19">
      <c r="A19" s="20">
        <v>17.0</v>
      </c>
      <c r="B19" s="43"/>
      <c r="C19" s="43"/>
      <c r="D19" s="43"/>
      <c r="E19" s="44"/>
      <c r="F19" s="25">
        <f t="shared" si="1"/>
        <v>0</v>
      </c>
      <c r="G19" s="38"/>
      <c r="H19" s="38"/>
      <c r="I19" s="27"/>
      <c r="J19" s="27"/>
      <c r="K19" s="40"/>
      <c r="L19" s="41"/>
      <c r="M19" s="42"/>
      <c r="N19" s="9"/>
      <c r="P19" s="45"/>
    </row>
    <row r="20">
      <c r="A20" s="20">
        <v>18.0</v>
      </c>
      <c r="B20" s="43"/>
      <c r="C20" s="43"/>
      <c r="D20" s="43"/>
      <c r="E20" s="44"/>
      <c r="F20" s="25">
        <f t="shared" si="1"/>
        <v>0</v>
      </c>
      <c r="G20" s="38"/>
      <c r="H20" s="38"/>
      <c r="I20" s="27"/>
      <c r="J20" s="27"/>
      <c r="K20" s="40"/>
      <c r="L20" s="41"/>
      <c r="M20" s="42"/>
      <c r="N20" s="9"/>
      <c r="P20" s="45"/>
    </row>
    <row r="21">
      <c r="A21" s="20">
        <v>19.0</v>
      </c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6">
      <c r="C26" s="31"/>
    </row>
    <row r="27">
      <c r="D27" s="31"/>
    </row>
    <row r="28">
      <c r="C28" s="31"/>
    </row>
    <row r="29">
      <c r="D29" s="31"/>
    </row>
    <row r="30">
      <c r="C30" s="31"/>
    </row>
    <row r="31">
      <c r="C31" s="31"/>
    </row>
    <row r="32">
      <c r="D32" s="31"/>
    </row>
    <row r="33">
      <c r="C33" s="31"/>
    </row>
    <row r="34">
      <c r="D34" s="31"/>
    </row>
    <row r="35">
      <c r="C35" s="46"/>
    </row>
  </sheetData>
  <mergeCells count="43">
    <mergeCell ref="P1:P2"/>
    <mergeCell ref="Q1:Q2"/>
    <mergeCell ref="A1:I2"/>
    <mergeCell ref="J1:J2"/>
    <mergeCell ref="K1:K2"/>
    <mergeCell ref="L1:L2"/>
    <mergeCell ref="M1:M2"/>
    <mergeCell ref="N1:N2"/>
    <mergeCell ref="O1:O2"/>
    <mergeCell ref="K3:M3"/>
    <mergeCell ref="N3:P3"/>
    <mergeCell ref="K4:M4"/>
    <mergeCell ref="N4:P4"/>
    <mergeCell ref="K5:M5"/>
    <mergeCell ref="N5:P5"/>
    <mergeCell ref="N6:P6"/>
    <mergeCell ref="K6:M6"/>
    <mergeCell ref="K7:M7"/>
    <mergeCell ref="K8:M8"/>
    <mergeCell ref="K9:M9"/>
    <mergeCell ref="K10:M10"/>
    <mergeCell ref="K11:M11"/>
    <mergeCell ref="K12:M12"/>
    <mergeCell ref="N14:P14"/>
    <mergeCell ref="N15:P15"/>
    <mergeCell ref="N16:P16"/>
    <mergeCell ref="N17:P17"/>
    <mergeCell ref="N7:P7"/>
    <mergeCell ref="N8:P8"/>
    <mergeCell ref="N9:P9"/>
    <mergeCell ref="N10:P10"/>
    <mergeCell ref="N11:P11"/>
    <mergeCell ref="N12:P12"/>
    <mergeCell ref="N13:P13"/>
    <mergeCell ref="K20:M20"/>
    <mergeCell ref="C35:D35"/>
    <mergeCell ref="K13:M13"/>
    <mergeCell ref="K14:M14"/>
    <mergeCell ref="K15:M15"/>
    <mergeCell ref="K16:M16"/>
    <mergeCell ref="K17:M17"/>
    <mergeCell ref="K18:M18"/>
    <mergeCell ref="K19:M19"/>
  </mergeCells>
  <dataValidations>
    <dataValidation type="list" allowBlank="1" showErrorMessage="1" sqref="I4:I20">
      <formula1>"Леруа Мерлен,Комус,Озон,Вайлдберрис,ЯндексМаркет,Продукты,Авито,Гамма Пейнт,Прочее,Спец. закупки"</formula1>
    </dataValidation>
    <dataValidation type="list" allowBlank="1" showErrorMessage="1" sqref="J4:J20">
      <formula1>"не заказали,заказали,приехало,забрали"</formula1>
    </dataValidation>
  </dataValidations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2"/>
    <hyperlink r:id="rId10" ref="G13"/>
    <hyperlink r:id="rId11" ref="G14"/>
  </hyperlinks>
  <drawing r:id="rId12"/>
</worksheet>
</file>